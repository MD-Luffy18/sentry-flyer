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BOM"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<sst xmlns="http://schemas.openxmlformats.org/spreadsheetml/2006/main" count="153" uniqueCount="103">
  <si>
    <t xml:space="preserve">Sentry Flyer — Hardware Bill of Materials</t>
  </si>
  <si>
    <t xml:space="preserve">SIH 2026 · PS 26177 · Team SkySentinel — indicative India street prices, September 2026. Verify current price and stock before ordering; GST included where the source listing includes it.</t>
  </si>
  <si>
    <t xml:space="preserve">Category</t>
  </si>
  <si>
    <t xml:space="preserve">Component</t>
  </si>
  <si>
    <t xml:space="preserve">Spec / Model</t>
  </si>
  <si>
    <t xml:space="preserve">Qty</t>
  </si>
  <si>
    <t xml:space="preserve">Est. Unit Price (Rs)</t>
  </si>
  <si>
    <t xml:space="preserve">Est. Line Total (Rs)</t>
  </si>
  <si>
    <t xml:space="preserve">Flies on drone?</t>
  </si>
  <si>
    <t xml:space="preserve">Unit Weight (g)</t>
  </si>
  <si>
    <t xml:space="preserve">Suggested Source (India)</t>
  </si>
  <si>
    <t xml:space="preserve">Notes</t>
  </si>
  <si>
    <t xml:space="preserve">Frame &amp; Propulsion</t>
  </si>
  <si>
    <t xml:space="preserve">Quadcopter frame</t>
  </si>
  <si>
    <t xml:space="preserve">F450/Q450, glass-fiber body + nylon arms, integrated PDB, 450mm wheelbase</t>
  </si>
  <si>
    <t xml:space="preserve">Yes</t>
  </si>
  <si>
    <t xml:space="preserve">Robu.in / Robocraze</t>
  </si>
  <si>
    <t xml:space="preserve">Budget hybrid frame; true carbon-fiber upgrade ~Rs 2,500-3,000 if budget allows</t>
  </si>
  <si>
    <t xml:space="preserve">Motor + ESC + prop combo</t>
  </si>
  <si>
    <t xml:space="preserve">EMAX MT2213 935KV brushless motor — 2× CW (Robu.in SKU 29098) + 2× CCW (Robu.in SKU 29090), Robu.in is EMAX's official India distributor. Real published dims: 27.9mm dia x 39.7mm length, 53-55g, 3mm motor shaft, M5 prop-adapter thread, mounting bolt pattern 16x19mm rectangular w/ 3mm (M3) holes — use this to correct the arm-tip mounting holes in CAD (the 16x16mm square placeholder does not match this motor). Paired with 4x 30A BLHeli/SimonK-compatible ESC (Robu.in, generic). Each motor ships bundled with a 10x4.5" prop pair, which is EMAX's 3S pairing, not 4S — see Notes for the prop correction.</t>
  </si>
  <si>
    <t xml:space="preserve">Robu.in (motors, official EMAX distributor) / Robu.in (ESCs, generic)</t>
  </si>
  <si>
    <t xml:space="preserve">EMAX's own spec pairs this motor with an 8x4.5" prop on 4S, not the bundled 10x4.5" (that's the 3S pairing) — buy a separate 8x4.5" CW/CCW pair per motor for actual flight and treat the bundled 1045s as extra ground spares. Thrust and current figures are manufacturer/reseller-published, not bench-measured — see the sheet-level notes below for the thrust-margin implication.</t>
  </si>
  <si>
    <t xml:space="preserve">Spare propellers</t>
  </si>
  <si>
    <t xml:space="preserve">8x4.5" prop pairs (crash spares), CW/CCW — EMAX's stated pairing for the MT2213 935KV on 4S</t>
  </si>
  <si>
    <t xml:space="preserve">No</t>
  </si>
  <si>
    <t xml:space="preserve">Robu.in</t>
  </si>
  <si>
    <t xml:space="preserve">Corrected from 10x4.5": that pairing is EMAX's 3S spec, not this build's 4S pack — see the motor line above</t>
  </si>
  <si>
    <t xml:space="preserve">Propeller guards</t>
  </si>
  <si>
    <t xml:space="preserve">Set of 4, 450mm-frame compatible</t>
  </si>
  <si>
    <t xml:space="preserve">Standard mitigation listed in your own risk table</t>
  </si>
  <si>
    <t xml:space="preserve">Extended landing gear/legs</t>
  </si>
  <si>
    <t xml:space="preserve">Taller legs for gimbal ground clearance</t>
  </si>
  <si>
    <t xml:space="preserve">Base F450 legs are often too short once a gimbal payload hangs below the frame — check clearance before flying</t>
  </si>
  <si>
    <t xml:space="preserve">Flight Control &amp; Navigation</t>
  </si>
  <si>
    <t xml:space="preserve">Flight controller</t>
  </si>
  <si>
    <t xml:space="preserve">Holybro Pixhawk 6C + PM02 V3 power module (STM32H743; ships with PX4 pre-installed, ArduPilot is supported but must be flashed). PM02 V3: 2-12S input, 5.2V/3A output, up to 120A sensing, ~20g. It powers the FC, RC receiver, GPS and radio only — not the Jetson or servos.</t>
  </si>
  <si>
    <t xml:space="preserve">Robu.in (SKU 1345179, incl. GST)</t>
  </si>
  <si>
    <t xml:space="preserve">Budget alt: Pixhawk 6C Mini (~Rs 22,000) or a clone if funding is tight. Confirm on the Robu.in listing whether a GPS is included in the box before buying the GPS line separately. Earlier drafts of this sheet said 'ArduPilot pre-installed' — corrected: the board ships with PX4.</t>
  </si>
  <si>
    <t xml:space="preserve">GPS + compass module</t>
  </si>
  <si>
    <t xml:space="preserve">u-blox M8N with integrated compass</t>
  </si>
  <si>
    <t xml:space="preserve">Indian Robo Store</t>
  </si>
  <si>
    <t xml:space="preserve">Sometimes bundled free with Pixhawk combo kits — check before buying separately</t>
  </si>
  <si>
    <t xml:space="preserve">Telemetry radio pair</t>
  </si>
  <si>
    <t xml:space="preserve">Telemetry radio pair — SKU to be selected. Must be an India-compliant link (865-867MHz, or 2.4GHz). Holybro SiK 433MHz 500mW removed: not license-exempt in India.</t>
  </si>
  <si>
    <t xml:space="preserve">India delicenses 433-434MHz only for low-power indoor devices at 10mW max with 10kHz channels and built-in antennas (GSR 680(E)), so a 500mW outdoor 433MHz FHSS radio does not qualify; 915MHz gear is also outside India's band plan. 865-867MHz is India's main license-exempt band (ExpressLRS ships an IN_866 domain and can carry MAVLink). Any radio still needs WPC equipment type approval to be legal to sell or use. Price shown (Rs 6,110) is a budget placeholder, not a quote. Optional per the offline-first design; weight is air-side unit only.</t>
  </si>
  <si>
    <t xml:space="preserve">RC transmitter + receiver</t>
  </si>
  <si>
    <t xml:space="preserve">FlySky FS-i6X 6-10CH 2.4GHz + FS-iA6B/iA10B receiver</t>
  </si>
  <si>
    <t xml:space="preserve">Robu.in / Flyrobo / Zbotic</t>
  </si>
  <si>
    <t xml:space="preserve">Missing from the first pass — your own Detailed_Doc.docx promises 'operator override,' which needs an actual RC link. Also the standard safety-pilot control for DGCA VLOS test flights. Weight shown is receiver only (~15g); transmitter stays on the ground</t>
  </si>
  <si>
    <t xml:space="preserve">FC buzzer + safety switch + microSD</t>
  </si>
  <si>
    <t xml:space="preserve">For Pixhawk 6C, if not already bundled</t>
  </si>
  <si>
    <t xml:space="preserve">Often included with Pixhawk combo kits — confirm before ordering separately</t>
  </si>
  <si>
    <t xml:space="preserve">Power</t>
  </si>
  <si>
    <t xml:space="preserve">LiPo battery — flight pack</t>
  </si>
  <si>
    <t xml:space="preserve">4S 5200mAh 14.8V 40C, XT60 connector</t>
  </si>
  <si>
    <t xml:space="preserve">14.8V is the correct 4S figure — corrects an earlier internal 11.1V/3S notation error</t>
  </si>
  <si>
    <t xml:space="preserve">LiPo battery — spare pack</t>
  </si>
  <si>
    <t xml:space="preserve">Second pack so bench testing isn't blocked by charge cycles</t>
  </si>
  <si>
    <t xml:space="preserve">Balance charger</t>
  </si>
  <si>
    <t xml:space="preserve">4S-capable LiPo balance charger (iMax B6-class)</t>
  </si>
  <si>
    <t xml:space="preserve">Robu.in / Amazon.in</t>
  </si>
  <si>
    <t xml:space="preserve">Ground equipment — does not fly</t>
  </si>
  <si>
    <t xml:space="preserve">Wiring &amp; connectors</t>
  </si>
  <si>
    <t xml:space="preserve">XT60 connectors, bullet connectors, silicone wire, heat shrink</t>
  </si>
  <si>
    <t xml:space="preserve">General consumables</t>
  </si>
  <si>
    <t xml:space="preserve">Battery low-voltage buzzer alarm</t>
  </si>
  <si>
    <t xml:space="preserve">Plugs into balance connector, audible alarm</t>
  </si>
  <si>
    <t xml:space="preserve">Cheap, standard safety practice — not in the first pass</t>
  </si>
  <si>
    <t xml:space="preserve">Jetson power lead + inline filter/UBEC</t>
  </si>
  <si>
    <t xml:space="preserve">4S battery to 5.5x2.5mm barrel-jack lead with noise filtering — exact regulator to be confirmed against NVIDIA's carrier-board spec</t>
  </si>
  <si>
    <t xml:space="preserve">The Jetson dev kit ships with a 19V supply and uses a 5.5x2.5mm DC jack. NVIDIA's user guide does not publish the accepted input range (it refers to the Carrier Board Specification), so the earlier '7-20V' claim is unverified. A 4S pack runs about 12.0-16.8V, which is below 19V — check the spec: if the board accepts that range, feed it through a filtered lead; if not, use a regulated buck-boost to 19V. Either way keep ESC switching noise off this rail.</t>
  </si>
  <si>
    <t xml:space="preserve">Onboard Compute &amp; Perception</t>
  </si>
  <si>
    <t xml:space="preserve">Edge AI compute module</t>
  </si>
  <si>
    <t xml:space="preserve">NVIDIA Jetson Orin Nano Super Developer Kit, 8GB</t>
  </si>
  <si>
    <t xml:space="preserve">Robocraze / Fab.to.Lab / authorized NVIDIA reseller</t>
  </si>
  <si>
    <t xml:space="preserve">Official price is $249; landed India price runs ~Rs 28,000-38,000 depending on import route/GST — get a live quote. Longest lead-time item, order first. Per NVIDIA: 1024 CUDA cores, 7-25W configurable, up to 67 INT8 TOPS, board is 100x79x21mm (use for mount CAD), boots from microSD by default, includes a Wi-Fi module and heatsink/fan. The 130g weight is unverified — weigh the actual kit; the 19V wall adapter is ground equipment and not counted.</t>
  </si>
  <si>
    <t xml:space="preserve">RGB camera</t>
  </si>
  <si>
    <t xml:space="preserve">Arducam IMX219 8MP CSI module for Jetson</t>
  </si>
  <si>
    <t xml:space="preserve">The Engineer Store</t>
  </si>
  <si>
    <t xml:space="preserve">IMX219 is a real Sony sensor but rolling-shutter with only middling low-light performance; your own docs cite low-light as the reason for choosing a 'Sony IMX sensor.' An IMX477-based module (~Rs 3,000 more) has better sensitivity if budget allows. Connector check: the Jetson carrier has 22-pin, 0.5mm CSI connectors; NVIDIA notes 15-pin modules need a 15-to-22-pin cable, so confirm the exact Arducam variant or add the cable.</t>
  </si>
  <si>
    <t xml:space="preserve">Thermal camera</t>
  </si>
  <si>
    <t xml:space="preserve">FLIR Lepton 3.5 (radiometric) + PureThermal breakout, USB/UVC</t>
  </si>
  <si>
    <t xml:space="preserve">GroupGets / DigiKey India / import reseller</t>
  </si>
  <si>
    <t xml:space="preserve">Must be the 3.5 radiometric variant, not 3.0/3.1R — fusion.py's percentile-temperature check needs real per-pixel values. Highest import-lead-time risk, order first. The Lepton 3.5 is 160x120 and its effective frame rate is ~8.7Hz per the FLIR datasheet, not 80x60 @ 30 FPS as assumed in earlier internal notes — update those to match.</t>
  </si>
  <si>
    <t xml:space="preserve">2-axis gimbal</t>
  </si>
  <si>
    <t xml:space="preserve">Robu.in / Lofty Agrotech "Shock Absorbing 2-Axis Brushless Gimbal Kit for Card-Type Cameras — Carbon Fiber Version": carbon-fibre frame, 160g bare, max camera width 110mm — clears your 65x35mm dual RGB+thermal Camera_Mount_Plate with room to spare. Clamps the payload by a 1/4"-20 camera tripod thread, not a bolt pattern, so the mount plate needs a printed boss with that thread. Paired with 2x 2212-class gimbal brushless motor (Robu.in, e.g. 2208 80KV or 2204 260KV) + 1x Storm32 BGC v1.1 32-bit 3-axis controller (Robokits India, ~Rs 2,450 bare board).</t>
  </si>
  <si>
    <t xml:space="preserve">Robu.in / Lofty Agrotech (frame + gimbal motors), Robokits India (Storm32 controller)</t>
  </si>
  <si>
    <t xml:space="preserve">A sibling SKU in the same product family ("...for Action Cam", glass-fibre) publishes a full drawing — 110x93x74mm overall, 60x32x46mm camera plate, 35x30mm frame-to-drone bolt spacing — the best proxy numbers available for the gimbal-mount CAD until the real part is in hand; ask the reseller to confirm or measure on arrival before cutting the final mount. User reviews of this product line flag under-supplied M3 screw kits and pitch-axis binding near full downward tilt — budget spare M3x6 hardware and test full articulation with the camera plate before committing.</t>
  </si>
  <si>
    <t xml:space="preserve">Storage</t>
  </si>
  <si>
    <t xml:space="preserve">128GB high-endurance microSD (Jetson boot + onboard SQLite DB)</t>
  </si>
  <si>
    <t xml:space="preserve">Amazon.in</t>
  </si>
  <si>
    <t xml:space="preserve">Use an industrial/high-endurance card — a consumer card wears out fast under constant DB writes</t>
  </si>
  <si>
    <t xml:space="preserve">Camera timestamp sync + GPIO breakout wiring</t>
  </si>
  <si>
    <t xml:space="preserve">Software timestamp alignment (primary method) plus header wiring to expose the Lepton VSYNC line for experiments</t>
  </si>
  <si>
    <t xml:space="preserve">General electronics</t>
  </si>
  <si>
    <t xml:space="preserve">A simple jumper cannot hardware-sync these cameras: the Lepton VSYNC (GPIO3) runs at 2.8-3.1V while MIPI sensor I/O is 1.8V, so it needs level translation and a custom interface, and ModalAI recommends timestamps instead. I also could not confirm the IMX219 module accepts an external trigger, and the Lepton's ~8.7Hz rate differs from the RGB frame rate anyway. Treat timestamp alignment as the working method and hardware sync as optional R&amp;D. Also unconfirmed: whether the PureThermal breakout exposes VSYNC.</t>
  </si>
  <si>
    <t xml:space="preserve">Assembly &amp; Misc</t>
  </si>
  <si>
    <t xml:space="preserve">Fasteners &amp; mounting</t>
  </si>
  <si>
    <t xml:space="preserve">Standoffs, screws, zip ties, foam padding, Velcro straps</t>
  </si>
  <si>
    <t xml:space="preserve">General build consumables</t>
  </si>
  <si>
    <t xml:space="preserve">TOTAL ESTIMATED COST</t>
  </si>
  <si>
    <t xml:space="preserve">EST. ALL-UP FLYING WEIGHT (parts marked 'Flies on drone: Yes')</t>
  </si>
  <si>
    <t xml:space="preserve">Notes: (1) COMPUTE PLATFORM — Jetson vs Qualcomm, resolved: kept the NVIDIA Jetson Orin Nano Super. A Qualcomm Robotics RB5 dev kit is available in India for roughly Rs 10,000 (core kit) — cheaper, and it would make the ‘Qualcomm-aligned’ pitch line literally true — but it runs on Qualcomm's SNPE/QNN toolchain, not OpenCV DNN/ONNX, so adopting it means re-exporting every detection model to Qualcomm's format and rewriting the capture/inference glue in detect.py, not swapping a line item. That's a full inference-stack migration this late in a hackathon build, risking the one thing you already have working (the pipeline) for a hardware-alignment talking point. Recommendation: keep the Jetson for the prototype/demo, and say so plainly — name the Qualcomm evaluation and the reasoned decision to defer it as a documented post-hackathon migration path in the feasibility/roadmap slide. That reads as engineering judgment to a judge, not a sponsor-alignment gap. (2) WEIGHT &amp; THRUST MARGIN, updated with the real EMAX MT2213 935KV numbers now pinned above: manufacturer/reseller-published max thrust is ~700-860g per motor on 4S with the correct 8x4.5" prop (figures range 720-863g across sources — treat as order-of-magnitude, not a lab result). Four motors gives roughly 2,800-3,400g of max thrust against this BOM's ~1,970g all-up weight (see the weight total row), i.e. a thrust-to-weight ratio of only about 1.4-1.75:1, with each motor needing roughly 57-70% of its max thrust just to hover. That is thin: 2:1 is the usual comfort target, and EMAX's own recommended model weight for this motor (300-1100g AUW) is well below this build. Ways to recover margin: use the fixed damped dual-mount already suggested in the gimbal line instead of the active gimbal (saves ~240g, ratio becomes roughly 1.6-2.0:1), trim other flying weight, or step up to a larger motor class. None of it is bench-measured — confirm actual hover throttle % and current draw once motors and battery are in hand, consistent with this project's own earlier finding that performance figures should be measured, not presented as tested when they are calculated. (3) Order the Jetson and the FLIR Lepton 3.5 first — both are import-dependent with the longest lead times. (4) DGCA registration applies regardless of final weight, since it is far above the 250g Nano-category threshold. Also note the 2kg line: under Rule 5 of the Drone Rules, 2021 a drone up to 2kg all-up weight (including payload and battery) is Micro, and above 2kg it is Small with heavier obligations. This build's estimate (~1,970g) is only ~30g under that line, and wiring, fasteners and mount hardware are not fully counted — weigh the real aircraft, and treat weight reduction as a compliance issue as well as a thrust issue. (5) Prices are street estimates from Robu.in, Robocraze, Robokits India, Indian Robo Store, The Engineer Store, Lofty Agrotech, and similar retailers as of Sep 2026 — always get a live quote before ordering, since drone-component pricing moves with import duty and stock changes. (6) Motor and gimbal lines above now name specific, purchasable products with published mounting dimensions in place of the earlier generic descriptions — see each line's own Notes for the CAD-relevant numbers (bolt patterns, camera-plate size) and what still needs confirming against the physical part on arrival. (7) Corrections in this revision: flight controller ships with PX4 (not ArduPilot); telemetry radio replaced with a compliance requirement because 500mW 433MHz is not license-exempt in India; Jetson input voltage range and weight marked unverified; camera sync reframed as timestamp-based.</t>
  </si>
</sst>
</file>

<file path=xl/styles.xml><?xml version="1.0" encoding="utf-8"?>
<styleSheet xmlns="http://schemas.openxmlformats.org/spreadsheetml/2006/main">
  <numFmts count="1">
    <numFmt numFmtId="164" formatCode="General"/>
  </numFmts>
  <fonts count="10">
    <font>
      <sz val="11"/>
      <color theme="1"/>
      <name val="Calibri"/>
      <family val="2"/>
      <charset val="1"/>
    </font>
    <font>
      <sz val="10"/>
      <name val="Arial"/>
      <family val="0"/>
    </font>
    <font>
      <sz val="10"/>
      <name val="Arial"/>
      <family val="0"/>
    </font>
    <font>
      <sz val="10"/>
      <name val="Arial"/>
      <family val="0"/>
    </font>
    <font>
      <b val="true"/>
      <sz val="11"/>
      <color theme="1"/>
      <name val="Abadi"/>
      <family val="2"/>
      <charset val="1"/>
    </font>
    <font>
      <b val="true"/>
      <sz val="14"/>
      <color rgb="FF1F3864"/>
      <name val="Abadi"/>
      <family val="2"/>
      <charset val="1"/>
    </font>
    <font>
      <b val="true"/>
      <i val="true"/>
      <sz val="9"/>
      <color rgb="FF595959"/>
      <name val="Abadi"/>
      <family val="2"/>
      <charset val="1"/>
    </font>
    <font>
      <b val="true"/>
      <sz val="11"/>
      <color rgb="FFFFFFFF"/>
      <name val="Abadi"/>
      <family val="2"/>
      <charset val="1"/>
    </font>
    <font>
      <b val="true"/>
      <sz val="10"/>
      <name val="Abadi"/>
      <family val="2"/>
      <charset val="1"/>
    </font>
    <font>
      <b val="true"/>
      <sz val="10"/>
      <color rgb="FF0000FF"/>
      <name val="Abadi"/>
      <family val="2"/>
      <charset val="1"/>
    </font>
  </fonts>
  <fills count="5">
    <fill>
      <patternFill patternType="none"/>
    </fill>
    <fill>
      <patternFill patternType="gray125"/>
    </fill>
    <fill>
      <patternFill patternType="solid">
        <fgColor rgb="FF1F3864"/>
        <bgColor rgb="FF333333"/>
      </patternFill>
    </fill>
    <fill>
      <patternFill patternType="solid">
        <fgColor rgb="FFD9E2F3"/>
        <bgColor rgb="FFCCFFFF"/>
      </patternFill>
    </fill>
    <fill>
      <patternFill patternType="solid">
        <fgColor rgb="FFFFF2CC"/>
        <bgColor rgb="FFFF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8" fillId="3" borderId="1" xfId="0" applyFont="true" applyBorder="true" applyAlignment="true" applyProtection="false">
      <alignment horizontal="center" vertical="center" textRotation="0" wrapText="fals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64" fontId="9" fillId="3" borderId="1" xfId="0" applyFont="true" applyBorder="true" applyAlignment="true" applyProtection="false">
      <alignment horizontal="center" vertical="center" textRotation="0" wrapText="false" indent="0" shrinkToFit="false"/>
      <protection locked="true" hidden="false"/>
    </xf>
    <xf numFmtId="164" fontId="4" fillId="0" borderId="0" xfId="0" applyFont="true" applyBorder="false" applyAlignment="true" applyProtection="false">
      <alignment horizontal="center" vertical="center" textRotation="0" wrapText="false" indent="0" shrinkToFit="false"/>
      <protection locked="true" hidden="false"/>
    </xf>
    <xf numFmtId="164" fontId="8" fillId="0" borderId="1" xfId="0" applyFont="true" applyBorder="true" applyAlignment="true" applyProtection="false">
      <alignment horizontal="center" vertical="center" textRotation="0" wrapText="fals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4" fontId="9" fillId="0" borderId="1" xfId="0" applyFont="true" applyBorder="true" applyAlignment="true" applyProtection="false">
      <alignment horizontal="center" vertical="center" textRotation="0" wrapText="false" indent="0" shrinkToFit="false"/>
      <protection locked="true" hidden="false"/>
    </xf>
    <xf numFmtId="164" fontId="4" fillId="4" borderId="1" xfId="0" applyFont="true" applyBorder="true" applyAlignment="true" applyProtection="false">
      <alignment horizontal="center" vertical="center" textRotation="0" wrapText="false" indent="0" shrinkToFit="false"/>
      <protection locked="true" hidden="false"/>
    </xf>
    <xf numFmtId="164" fontId="8" fillId="4" borderId="1" xfId="0" applyFont="true" applyBorder="true" applyAlignment="true" applyProtection="false">
      <alignment horizontal="center" vertical="center" textRotation="0" wrapText="fals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8"/>
  <sheetViews>
    <sheetView showFormulas="false" showGridLines="true" showRowColHeaders="true" showZeros="true" rightToLeft="false" tabSelected="true" showOutlineSymbols="true" defaultGridColor="true" view="normal" topLeftCell="A1" colorId="64" zoomScale="85" zoomScaleNormal="85" zoomScalePageLayoutView="100" workbookViewId="0">
      <pane xSplit="0" ySplit="4" topLeftCell="A15" activePane="bottomLeft" state="frozen"/>
      <selection pane="topLeft" activeCell="A1" activeCellId="0" sqref="A1"/>
      <selection pane="bottomLeft" activeCell="C13" activeCellId="0" sqref="C13"/>
    </sheetView>
  </sheetViews>
  <sheetFormatPr defaultColWidth="8.66796875" defaultRowHeight="15" zeroHeight="false" outlineLevelRow="0" outlineLevelCol="0"/>
  <cols>
    <col collapsed="false" customWidth="true" hidden="false" outlineLevel="0" max="1" min="1" style="1" width="30.33"/>
    <col collapsed="false" customWidth="true" hidden="false" outlineLevel="0" max="2" min="2" style="1" width="30.67"/>
    <col collapsed="false" customWidth="true" hidden="false" outlineLevel="0" max="3" min="3" style="1" width="48.67"/>
    <col collapsed="false" customWidth="true" hidden="false" outlineLevel="0" max="4" min="4" style="1" width="12.88"/>
    <col collapsed="false" customWidth="true" hidden="false" outlineLevel="0" max="5" min="5" style="1" width="17.44"/>
    <col collapsed="false" customWidth="true" hidden="false" outlineLevel="0" max="6" min="6" style="1" width="18.67"/>
    <col collapsed="false" customWidth="true" hidden="false" outlineLevel="0" max="7" min="7" style="1" width="16.89"/>
    <col collapsed="false" customWidth="true" hidden="false" outlineLevel="0" max="8" min="8" style="1" width="17.22"/>
    <col collapsed="false" customWidth="true" hidden="false" outlineLevel="0" max="9" min="9" style="1" width="30.22"/>
    <col collapsed="false" customWidth="true" hidden="false" outlineLevel="0" max="10" min="10" style="1" width="54.44"/>
    <col collapsed="false" customWidth="false" hidden="false" outlineLevel="0" max="16384" min="11" style="1" width="8.67"/>
  </cols>
  <sheetData>
    <row r="1" customFormat="false" ht="18.75" hidden="false" customHeight="true" outlineLevel="0" collapsed="false">
      <c r="A1" s="2" t="s">
        <v>0</v>
      </c>
      <c r="B1" s="2"/>
      <c r="C1" s="2"/>
      <c r="D1" s="2"/>
      <c r="E1" s="2"/>
      <c r="F1" s="2"/>
      <c r="G1" s="2"/>
      <c r="H1" s="2"/>
      <c r="I1" s="2"/>
    </row>
    <row r="2" customFormat="false" ht="15" hidden="false" customHeight="true" outlineLevel="0" collapsed="false">
      <c r="A2" s="3" t="s">
        <v>1</v>
      </c>
      <c r="B2" s="3"/>
      <c r="C2" s="3"/>
      <c r="D2" s="3"/>
      <c r="E2" s="3"/>
      <c r="F2" s="3"/>
      <c r="G2" s="3"/>
      <c r="H2" s="3"/>
      <c r="I2" s="3"/>
    </row>
    <row r="4" customFormat="false" ht="48" hidden="false" customHeight="true" outlineLevel="0" collapsed="false">
      <c r="A4" s="4" t="s">
        <v>2</v>
      </c>
      <c r="B4" s="4" t="s">
        <v>3</v>
      </c>
      <c r="C4" s="4" t="s">
        <v>4</v>
      </c>
      <c r="D4" s="4" t="s">
        <v>5</v>
      </c>
      <c r="E4" s="4" t="s">
        <v>6</v>
      </c>
      <c r="F4" s="4" t="s">
        <v>7</v>
      </c>
      <c r="G4" s="4" t="s">
        <v>8</v>
      </c>
      <c r="H4" s="4" t="s">
        <v>9</v>
      </c>
      <c r="I4" s="4" t="s">
        <v>10</v>
      </c>
      <c r="J4" s="4" t="s">
        <v>11</v>
      </c>
    </row>
    <row r="5" s="8" customFormat="true" ht="69.75" hidden="false" customHeight="true" outlineLevel="0" collapsed="false">
      <c r="A5" s="5" t="s">
        <v>12</v>
      </c>
      <c r="B5" s="5" t="s">
        <v>13</v>
      </c>
      <c r="C5" s="6" t="s">
        <v>14</v>
      </c>
      <c r="D5" s="5" t="n">
        <v>1</v>
      </c>
      <c r="E5" s="7" t="n">
        <v>1200</v>
      </c>
      <c r="F5" s="5" t="n">
        <f aca="false">D5*E5</f>
        <v>1200</v>
      </c>
      <c r="G5" s="5" t="s">
        <v>15</v>
      </c>
      <c r="H5" s="5" t="n">
        <v>300</v>
      </c>
      <c r="I5" s="6" t="s">
        <v>16</v>
      </c>
      <c r="J5" s="6" t="s">
        <v>17</v>
      </c>
    </row>
    <row r="6" s="8" customFormat="true" ht="219.75" hidden="false" customHeight="true" outlineLevel="0" collapsed="false">
      <c r="A6" s="9" t="s">
        <v>12</v>
      </c>
      <c r="B6" s="9" t="s">
        <v>18</v>
      </c>
      <c r="C6" s="10" t="s">
        <v>19</v>
      </c>
      <c r="D6" s="9" t="n">
        <v>1</v>
      </c>
      <c r="E6" s="11" t="n">
        <v>8200</v>
      </c>
      <c r="F6" s="9" t="n">
        <f aca="false">D6*E6</f>
        <v>8200</v>
      </c>
      <c r="G6" s="9" t="s">
        <v>15</v>
      </c>
      <c r="H6" s="9" t="n">
        <v>340</v>
      </c>
      <c r="I6" s="10" t="s">
        <v>20</v>
      </c>
      <c r="J6" s="10" t="s">
        <v>21</v>
      </c>
    </row>
    <row r="7" s="8" customFormat="true" ht="90" hidden="false" customHeight="true" outlineLevel="0" collapsed="false">
      <c r="A7" s="9" t="s">
        <v>12</v>
      </c>
      <c r="B7" s="9" t="s">
        <v>22</v>
      </c>
      <c r="C7" s="10" t="s">
        <v>23</v>
      </c>
      <c r="D7" s="9" t="n">
        <v>2</v>
      </c>
      <c r="E7" s="11" t="n">
        <v>150</v>
      </c>
      <c r="F7" s="9" t="n">
        <f aca="false">D7*E7</f>
        <v>300</v>
      </c>
      <c r="G7" s="9" t="s">
        <v>24</v>
      </c>
      <c r="H7" s="9" t="n">
        <v>0</v>
      </c>
      <c r="I7" s="10" t="s">
        <v>25</v>
      </c>
      <c r="J7" s="10" t="s">
        <v>26</v>
      </c>
    </row>
    <row r="8" s="8" customFormat="true" ht="69.75" hidden="false" customHeight="true" outlineLevel="0" collapsed="false">
      <c r="A8" s="9" t="s">
        <v>12</v>
      </c>
      <c r="B8" s="9" t="s">
        <v>27</v>
      </c>
      <c r="C8" s="10" t="s">
        <v>28</v>
      </c>
      <c r="D8" s="9" t="n">
        <v>1</v>
      </c>
      <c r="E8" s="11" t="n">
        <v>500</v>
      </c>
      <c r="F8" s="9" t="n">
        <f aca="false">D8*E8</f>
        <v>500</v>
      </c>
      <c r="G8" s="9" t="s">
        <v>15</v>
      </c>
      <c r="H8" s="9" t="n">
        <v>80</v>
      </c>
      <c r="I8" s="10" t="s">
        <v>16</v>
      </c>
      <c r="J8" s="10" t="s">
        <v>29</v>
      </c>
    </row>
    <row r="9" s="8" customFormat="true" ht="69.75" hidden="false" customHeight="true" outlineLevel="0" collapsed="false">
      <c r="A9" s="9" t="s">
        <v>12</v>
      </c>
      <c r="B9" s="9" t="s">
        <v>30</v>
      </c>
      <c r="C9" s="10" t="s">
        <v>31</v>
      </c>
      <c r="D9" s="9" t="n">
        <v>1</v>
      </c>
      <c r="E9" s="11" t="n">
        <v>600</v>
      </c>
      <c r="F9" s="9" t="n">
        <f aca="false">D9*E9</f>
        <v>600</v>
      </c>
      <c r="G9" s="9" t="s">
        <v>15</v>
      </c>
      <c r="H9" s="9" t="n">
        <v>60</v>
      </c>
      <c r="I9" s="10" t="s">
        <v>16</v>
      </c>
      <c r="J9" s="10" t="s">
        <v>32</v>
      </c>
    </row>
    <row r="10" s="8" customFormat="true" ht="120" hidden="false" customHeight="true" outlineLevel="0" collapsed="false">
      <c r="A10" s="5" t="s">
        <v>33</v>
      </c>
      <c r="B10" s="5" t="s">
        <v>34</v>
      </c>
      <c r="C10" s="6" t="s">
        <v>35</v>
      </c>
      <c r="D10" s="5" t="n">
        <v>1</v>
      </c>
      <c r="E10" s="7" t="n">
        <v>34088</v>
      </c>
      <c r="F10" s="5" t="n">
        <f aca="false">D10*E10</f>
        <v>34088</v>
      </c>
      <c r="G10" s="5" t="s">
        <v>15</v>
      </c>
      <c r="H10" s="5" t="n">
        <v>55</v>
      </c>
      <c r="I10" s="6" t="s">
        <v>36</v>
      </c>
      <c r="J10" s="6" t="s">
        <v>37</v>
      </c>
    </row>
    <row r="11" s="8" customFormat="true" ht="69.75" hidden="false" customHeight="true" outlineLevel="0" collapsed="false">
      <c r="A11" s="9" t="s">
        <v>33</v>
      </c>
      <c r="B11" s="9" t="s">
        <v>38</v>
      </c>
      <c r="C11" s="10" t="s">
        <v>39</v>
      </c>
      <c r="D11" s="9" t="n">
        <v>1</v>
      </c>
      <c r="E11" s="11" t="n">
        <v>2315</v>
      </c>
      <c r="F11" s="9" t="n">
        <f aca="false">D11*E11</f>
        <v>2315</v>
      </c>
      <c r="G11" s="9" t="s">
        <v>15</v>
      </c>
      <c r="H11" s="9" t="n">
        <v>30</v>
      </c>
      <c r="I11" s="10" t="s">
        <v>40</v>
      </c>
      <c r="J11" s="10" t="s">
        <v>41</v>
      </c>
    </row>
    <row r="12" s="8" customFormat="true" ht="189.75" hidden="false" customHeight="true" outlineLevel="0" collapsed="false">
      <c r="A12" s="9" t="s">
        <v>33</v>
      </c>
      <c r="B12" s="9" t="s">
        <v>42</v>
      </c>
      <c r="C12" s="10" t="s">
        <v>43</v>
      </c>
      <c r="D12" s="9" t="n">
        <v>1</v>
      </c>
      <c r="E12" s="11" t="n">
        <v>6110</v>
      </c>
      <c r="F12" s="9" t="n">
        <f aca="false">D12*E12</f>
        <v>6110</v>
      </c>
      <c r="G12" s="9" t="s">
        <v>15</v>
      </c>
      <c r="H12" s="9" t="n">
        <v>15</v>
      </c>
      <c r="I12" s="10" t="s">
        <v>25</v>
      </c>
      <c r="J12" s="10" t="s">
        <v>44</v>
      </c>
    </row>
    <row r="13" s="8" customFormat="true" ht="101.25" hidden="false" customHeight="true" outlineLevel="0" collapsed="false">
      <c r="A13" s="9" t="s">
        <v>33</v>
      </c>
      <c r="B13" s="9" t="s">
        <v>45</v>
      </c>
      <c r="C13" s="10" t="s">
        <v>46</v>
      </c>
      <c r="D13" s="9" t="n">
        <v>1</v>
      </c>
      <c r="E13" s="11" t="n">
        <v>3500</v>
      </c>
      <c r="F13" s="9" t="n">
        <f aca="false">D13*E13</f>
        <v>3500</v>
      </c>
      <c r="G13" s="9" t="s">
        <v>15</v>
      </c>
      <c r="H13" s="9" t="n">
        <v>15</v>
      </c>
      <c r="I13" s="10" t="s">
        <v>47</v>
      </c>
      <c r="J13" s="10" t="s">
        <v>48</v>
      </c>
    </row>
    <row r="14" s="8" customFormat="true" ht="69.75" hidden="false" customHeight="true" outlineLevel="0" collapsed="false">
      <c r="A14" s="9" t="s">
        <v>33</v>
      </c>
      <c r="B14" s="9" t="s">
        <v>49</v>
      </c>
      <c r="C14" s="10" t="s">
        <v>50</v>
      </c>
      <c r="D14" s="9" t="n">
        <v>1</v>
      </c>
      <c r="E14" s="11" t="n">
        <v>500</v>
      </c>
      <c r="F14" s="9" t="n">
        <f aca="false">D14*E14</f>
        <v>500</v>
      </c>
      <c r="G14" s="9" t="s">
        <v>15</v>
      </c>
      <c r="H14" s="9" t="n">
        <v>20</v>
      </c>
      <c r="I14" s="10" t="s">
        <v>25</v>
      </c>
      <c r="J14" s="10" t="s">
        <v>51</v>
      </c>
    </row>
    <row r="15" s="8" customFormat="true" ht="69.75" hidden="false" customHeight="true" outlineLevel="0" collapsed="false">
      <c r="A15" s="5" t="s">
        <v>52</v>
      </c>
      <c r="B15" s="5" t="s">
        <v>53</v>
      </c>
      <c r="C15" s="6" t="s">
        <v>54</v>
      </c>
      <c r="D15" s="5" t="n">
        <v>1</v>
      </c>
      <c r="E15" s="7" t="n">
        <v>5000</v>
      </c>
      <c r="F15" s="5" t="n">
        <f aca="false">D15*E15</f>
        <v>5000</v>
      </c>
      <c r="G15" s="5" t="s">
        <v>15</v>
      </c>
      <c r="H15" s="5" t="n">
        <v>500</v>
      </c>
      <c r="I15" s="6" t="s">
        <v>25</v>
      </c>
      <c r="J15" s="6" t="s">
        <v>55</v>
      </c>
    </row>
    <row r="16" s="8" customFormat="true" ht="69.75" hidden="false" customHeight="true" outlineLevel="0" collapsed="false">
      <c r="A16" s="9" t="s">
        <v>52</v>
      </c>
      <c r="B16" s="9" t="s">
        <v>56</v>
      </c>
      <c r="C16" s="10" t="s">
        <v>54</v>
      </c>
      <c r="D16" s="9" t="n">
        <v>1</v>
      </c>
      <c r="E16" s="11" t="n">
        <v>5000</v>
      </c>
      <c r="F16" s="9" t="n">
        <f aca="false">D16*E16</f>
        <v>5000</v>
      </c>
      <c r="G16" s="9" t="s">
        <v>24</v>
      </c>
      <c r="H16" s="9" t="n">
        <v>500</v>
      </c>
      <c r="I16" s="10" t="s">
        <v>25</v>
      </c>
      <c r="J16" s="10" t="s">
        <v>57</v>
      </c>
    </row>
    <row r="17" s="8" customFormat="true" ht="69.75" hidden="false" customHeight="true" outlineLevel="0" collapsed="false">
      <c r="A17" s="9" t="s">
        <v>52</v>
      </c>
      <c r="B17" s="9" t="s">
        <v>58</v>
      </c>
      <c r="C17" s="10" t="s">
        <v>59</v>
      </c>
      <c r="D17" s="9" t="n">
        <v>1</v>
      </c>
      <c r="E17" s="11" t="n">
        <v>2000</v>
      </c>
      <c r="F17" s="9" t="n">
        <f aca="false">D17*E17</f>
        <v>2000</v>
      </c>
      <c r="G17" s="9" t="s">
        <v>24</v>
      </c>
      <c r="H17" s="9" t="n">
        <v>0</v>
      </c>
      <c r="I17" s="10" t="s">
        <v>60</v>
      </c>
      <c r="J17" s="10" t="s">
        <v>61</v>
      </c>
    </row>
    <row r="18" s="8" customFormat="true" ht="69.75" hidden="false" customHeight="true" outlineLevel="0" collapsed="false">
      <c r="A18" s="9" t="s">
        <v>52</v>
      </c>
      <c r="B18" s="9" t="s">
        <v>62</v>
      </c>
      <c r="C18" s="10" t="s">
        <v>63</v>
      </c>
      <c r="D18" s="9" t="n">
        <v>1</v>
      </c>
      <c r="E18" s="11" t="n">
        <v>1000</v>
      </c>
      <c r="F18" s="9" t="n">
        <f aca="false">D18*E18</f>
        <v>1000</v>
      </c>
      <c r="G18" s="9" t="s">
        <v>15</v>
      </c>
      <c r="H18" s="9" t="n">
        <v>60</v>
      </c>
      <c r="I18" s="10" t="s">
        <v>25</v>
      </c>
      <c r="J18" s="10" t="s">
        <v>64</v>
      </c>
    </row>
    <row r="19" s="8" customFormat="true" ht="69.75" hidden="false" customHeight="true" outlineLevel="0" collapsed="false">
      <c r="A19" s="9" t="s">
        <v>52</v>
      </c>
      <c r="B19" s="9" t="s">
        <v>65</v>
      </c>
      <c r="C19" s="10" t="s">
        <v>66</v>
      </c>
      <c r="D19" s="9" t="n">
        <v>1</v>
      </c>
      <c r="E19" s="11" t="n">
        <v>200</v>
      </c>
      <c r="F19" s="9" t="n">
        <f aca="false">D19*E19</f>
        <v>200</v>
      </c>
      <c r="G19" s="9" t="s">
        <v>15</v>
      </c>
      <c r="H19" s="9" t="n">
        <v>10</v>
      </c>
      <c r="I19" s="10" t="s">
        <v>60</v>
      </c>
      <c r="J19" s="10" t="s">
        <v>67</v>
      </c>
    </row>
    <row r="20" s="8" customFormat="true" ht="174.75" hidden="false" customHeight="true" outlineLevel="0" collapsed="false">
      <c r="A20" s="9" t="s">
        <v>52</v>
      </c>
      <c r="B20" s="9" t="s">
        <v>68</v>
      </c>
      <c r="C20" s="10" t="s">
        <v>69</v>
      </c>
      <c r="D20" s="9" t="n">
        <v>1</v>
      </c>
      <c r="E20" s="11" t="n">
        <v>700</v>
      </c>
      <c r="F20" s="9" t="n">
        <f aca="false">D20*E20</f>
        <v>700</v>
      </c>
      <c r="G20" s="9" t="s">
        <v>15</v>
      </c>
      <c r="H20" s="9" t="n">
        <v>30</v>
      </c>
      <c r="I20" s="10" t="s">
        <v>60</v>
      </c>
      <c r="J20" s="10" t="s">
        <v>70</v>
      </c>
    </row>
    <row r="21" s="8" customFormat="true" ht="150" hidden="false" customHeight="true" outlineLevel="0" collapsed="false">
      <c r="A21" s="5" t="s">
        <v>71</v>
      </c>
      <c r="B21" s="5" t="s">
        <v>72</v>
      </c>
      <c r="C21" s="6" t="s">
        <v>73</v>
      </c>
      <c r="D21" s="5" t="n">
        <v>1</v>
      </c>
      <c r="E21" s="7" t="n">
        <v>32000</v>
      </c>
      <c r="F21" s="5" t="n">
        <f aca="false">D21*E21</f>
        <v>32000</v>
      </c>
      <c r="G21" s="5" t="s">
        <v>15</v>
      </c>
      <c r="H21" s="5" t="n">
        <v>130</v>
      </c>
      <c r="I21" s="6" t="s">
        <v>74</v>
      </c>
      <c r="J21" s="6" t="s">
        <v>75</v>
      </c>
    </row>
    <row r="22" s="8" customFormat="true" ht="150" hidden="false" customHeight="true" outlineLevel="0" collapsed="false">
      <c r="A22" s="9" t="s">
        <v>71</v>
      </c>
      <c r="B22" s="9" t="s">
        <v>76</v>
      </c>
      <c r="C22" s="10" t="s">
        <v>77</v>
      </c>
      <c r="D22" s="9" t="n">
        <v>1</v>
      </c>
      <c r="E22" s="11" t="n">
        <v>4000</v>
      </c>
      <c r="F22" s="9" t="n">
        <f aca="false">D22*E22</f>
        <v>4000</v>
      </c>
      <c r="G22" s="9" t="s">
        <v>15</v>
      </c>
      <c r="H22" s="9" t="n">
        <v>10</v>
      </c>
      <c r="I22" s="10" t="s">
        <v>78</v>
      </c>
      <c r="J22" s="10" t="s">
        <v>79</v>
      </c>
    </row>
    <row r="23" s="8" customFormat="true" ht="109.5" hidden="false" customHeight="true" outlineLevel="0" collapsed="false">
      <c r="A23" s="9" t="s">
        <v>71</v>
      </c>
      <c r="B23" s="9" t="s">
        <v>80</v>
      </c>
      <c r="C23" s="10" t="s">
        <v>81</v>
      </c>
      <c r="D23" s="9" t="n">
        <v>1</v>
      </c>
      <c r="E23" s="11" t="n">
        <v>32000</v>
      </c>
      <c r="F23" s="9" t="n">
        <f aca="false">D23*E23</f>
        <v>32000</v>
      </c>
      <c r="G23" s="9" t="s">
        <v>15</v>
      </c>
      <c r="H23" s="9" t="n">
        <v>20</v>
      </c>
      <c r="I23" s="10" t="s">
        <v>82</v>
      </c>
      <c r="J23" s="10" t="s">
        <v>83</v>
      </c>
    </row>
    <row r="24" s="8" customFormat="true" ht="259.5" hidden="false" customHeight="true" outlineLevel="0" collapsed="false">
      <c r="A24" s="9" t="s">
        <v>71</v>
      </c>
      <c r="B24" s="9" t="s">
        <v>84</v>
      </c>
      <c r="C24" s="10" t="s">
        <v>85</v>
      </c>
      <c r="D24" s="9" t="n">
        <v>1</v>
      </c>
      <c r="E24" s="11" t="n">
        <v>8350</v>
      </c>
      <c r="F24" s="9" t="n">
        <f aca="false">D24*E24</f>
        <v>8350</v>
      </c>
      <c r="G24" s="9" t="s">
        <v>15</v>
      </c>
      <c r="H24" s="9" t="n">
        <v>240</v>
      </c>
      <c r="I24" s="10" t="s">
        <v>86</v>
      </c>
      <c r="J24" s="10" t="s">
        <v>87</v>
      </c>
    </row>
    <row r="25" s="8" customFormat="true" ht="69.75" hidden="false" customHeight="true" outlineLevel="0" collapsed="false">
      <c r="A25" s="9" t="s">
        <v>71</v>
      </c>
      <c r="B25" s="9" t="s">
        <v>88</v>
      </c>
      <c r="C25" s="10" t="s">
        <v>89</v>
      </c>
      <c r="D25" s="9" t="n">
        <v>1</v>
      </c>
      <c r="E25" s="11" t="n">
        <v>1200</v>
      </c>
      <c r="F25" s="9" t="n">
        <f aca="false">D25*E25</f>
        <v>1200</v>
      </c>
      <c r="G25" s="9" t="s">
        <v>15</v>
      </c>
      <c r="H25" s="9" t="n">
        <v>5</v>
      </c>
      <c r="I25" s="10" t="s">
        <v>90</v>
      </c>
      <c r="J25" s="10" t="s">
        <v>91</v>
      </c>
    </row>
    <row r="26" s="8" customFormat="true" ht="150" hidden="false" customHeight="true" outlineLevel="0" collapsed="false">
      <c r="A26" s="9" t="s">
        <v>71</v>
      </c>
      <c r="B26" s="9" t="s">
        <v>92</v>
      </c>
      <c r="C26" s="10" t="s">
        <v>93</v>
      </c>
      <c r="D26" s="9" t="n">
        <v>1</v>
      </c>
      <c r="E26" s="11" t="n">
        <v>200</v>
      </c>
      <c r="F26" s="9" t="n">
        <f aca="false">D26*E26</f>
        <v>200</v>
      </c>
      <c r="G26" s="9" t="s">
        <v>15</v>
      </c>
      <c r="H26" s="9" t="n">
        <v>5</v>
      </c>
      <c r="I26" s="10" t="s">
        <v>94</v>
      </c>
      <c r="J26" s="10" t="s">
        <v>95</v>
      </c>
    </row>
    <row r="27" s="8" customFormat="true" ht="69.75" hidden="false" customHeight="true" outlineLevel="0" collapsed="false">
      <c r="A27" s="5" t="s">
        <v>96</v>
      </c>
      <c r="B27" s="5" t="s">
        <v>97</v>
      </c>
      <c r="C27" s="6" t="s">
        <v>98</v>
      </c>
      <c r="D27" s="5" t="n">
        <v>1</v>
      </c>
      <c r="E27" s="7" t="n">
        <v>800</v>
      </c>
      <c r="F27" s="5" t="n">
        <f aca="false">D27*E27</f>
        <v>800</v>
      </c>
      <c r="G27" s="5" t="s">
        <v>15</v>
      </c>
      <c r="H27" s="5" t="n">
        <v>50</v>
      </c>
      <c r="I27" s="6" t="s">
        <v>25</v>
      </c>
      <c r="J27" s="6" t="s">
        <v>99</v>
      </c>
    </row>
    <row r="28" s="8" customFormat="true" ht="54" hidden="false" customHeight="true" outlineLevel="0" collapsed="false"/>
    <row r="29" s="8" customFormat="true" ht="54" hidden="false" customHeight="true" outlineLevel="0" collapsed="false">
      <c r="A29" s="12"/>
      <c r="B29" s="13" t="s">
        <v>100</v>
      </c>
      <c r="C29" s="12"/>
      <c r="D29" s="12"/>
      <c r="E29" s="12"/>
      <c r="F29" s="13" t="n">
        <f aca="false">SUM(F5:F27)</f>
        <v>149763</v>
      </c>
      <c r="G29" s="12"/>
      <c r="H29" s="12"/>
      <c r="I29" s="12"/>
      <c r="J29" s="12"/>
    </row>
    <row r="30" s="8" customFormat="true" ht="54" hidden="false" customHeight="true" outlineLevel="0" collapsed="false">
      <c r="A30" s="12"/>
      <c r="B30" s="13" t="s">
        <v>101</v>
      </c>
      <c r="C30" s="12"/>
      <c r="D30" s="12"/>
      <c r="E30" s="12"/>
      <c r="F30" s="12"/>
      <c r="G30" s="12"/>
      <c r="H30" s="13" t="n">
        <f aca="false">SUMIF(G5:G27,"Yes",H5:H27)</f>
        <v>1975</v>
      </c>
      <c r="I30" s="12"/>
      <c r="J30" s="12"/>
    </row>
    <row r="31" s="8" customFormat="true" ht="54" hidden="false" customHeight="true" outlineLevel="0" collapsed="false"/>
    <row r="32" customFormat="false" ht="15" hidden="false" customHeight="true" outlineLevel="0" collapsed="false">
      <c r="A32" s="14" t="s">
        <v>102</v>
      </c>
      <c r="B32" s="14"/>
      <c r="C32" s="14"/>
      <c r="D32" s="14"/>
      <c r="E32" s="14"/>
      <c r="F32" s="14"/>
      <c r="G32" s="14"/>
      <c r="H32" s="14"/>
      <c r="I32" s="14"/>
      <c r="J32" s="14"/>
    </row>
    <row r="33" customFormat="false" ht="15" hidden="false" customHeight="true" outlineLevel="0" collapsed="false">
      <c r="A33" s="14"/>
      <c r="B33" s="14"/>
      <c r="C33" s="14"/>
      <c r="D33" s="14"/>
      <c r="E33" s="14"/>
      <c r="F33" s="14"/>
      <c r="G33" s="14"/>
      <c r="H33" s="14"/>
      <c r="I33" s="14"/>
      <c r="J33" s="14"/>
    </row>
    <row r="34" customFormat="false" ht="15" hidden="false" customHeight="true" outlineLevel="0" collapsed="false">
      <c r="A34" s="14"/>
      <c r="B34" s="14"/>
      <c r="C34" s="14"/>
      <c r="D34" s="14"/>
      <c r="E34" s="14"/>
      <c r="F34" s="14"/>
      <c r="G34" s="14"/>
      <c r="H34" s="14"/>
      <c r="I34" s="14"/>
      <c r="J34" s="14"/>
    </row>
    <row r="35" customFormat="false" ht="15" hidden="false" customHeight="true" outlineLevel="0" collapsed="false">
      <c r="A35" s="14"/>
      <c r="B35" s="14"/>
      <c r="C35" s="14"/>
      <c r="D35" s="14"/>
      <c r="E35" s="14"/>
      <c r="F35" s="14"/>
      <c r="G35" s="14"/>
      <c r="H35" s="14"/>
      <c r="I35" s="14"/>
      <c r="J35" s="14"/>
    </row>
    <row r="36" customFormat="false" ht="15" hidden="false" customHeight="true" outlineLevel="0" collapsed="false">
      <c r="A36" s="14"/>
      <c r="B36" s="14"/>
      <c r="C36" s="14"/>
      <c r="D36" s="14"/>
      <c r="E36" s="14"/>
      <c r="F36" s="14"/>
      <c r="G36" s="14"/>
      <c r="H36" s="14"/>
      <c r="I36" s="14"/>
      <c r="J36" s="14"/>
    </row>
    <row r="37" customFormat="false" ht="15" hidden="false" customHeight="true" outlineLevel="0" collapsed="false">
      <c r="A37" s="14"/>
      <c r="B37" s="14"/>
      <c r="C37" s="14"/>
      <c r="D37" s="14"/>
      <c r="E37" s="14"/>
      <c r="F37" s="14"/>
      <c r="G37" s="14"/>
      <c r="H37" s="14"/>
      <c r="I37" s="14"/>
      <c r="J37" s="14"/>
    </row>
    <row r="38" customFormat="false" ht="15" hidden="false" customHeight="true" outlineLevel="0" collapsed="false">
      <c r="A38" s="14"/>
      <c r="B38" s="14"/>
      <c r="C38" s="14"/>
      <c r="D38" s="14"/>
      <c r="E38" s="14"/>
      <c r="F38" s="14"/>
      <c r="G38" s="14"/>
      <c r="H38" s="14"/>
      <c r="I38" s="14"/>
      <c r="J38" s="14"/>
    </row>
  </sheetData>
  <mergeCells count="3">
    <mergeCell ref="A1:I1"/>
    <mergeCell ref="A2:I2"/>
    <mergeCell ref="A32:J3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2026-09-15T10:51:33Z</dcterms:created>
  <dc:creator>openpyxl</dc:creator>
  <dc:description/>
  <dc:language>en-US</dc:language>
  <cp:lastModifiedBy>Swayam Agrawal</cp:lastModifiedBy>
  <dcterms:modified xsi:type="dcterms:W3CDTF">2026-09-29T05:26:26Z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